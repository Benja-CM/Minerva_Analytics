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OC UC\1. DUOC UC - 2025 II\Capstone\Rúbrica Evaluación - PTY4614-008D\"/>
    </mc:Choice>
  </mc:AlternateContent>
  <xr:revisionPtr revIDLastSave="0" documentId="13_ncr:1_{6355E38D-A3BC-456B-BD03-EB070363F4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6" i="1"/>
  <c r="D5" i="1"/>
  <c r="D4" i="1"/>
  <c r="H4" i="1"/>
  <c r="H5" i="1"/>
  <c r="H6" i="1"/>
  <c r="H7" i="1"/>
  <c r="D7" i="1"/>
  <c r="B50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46" i="1" l="1"/>
  <c r="E33" i="1"/>
  <c r="G33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E5" i="1" s="1"/>
  <c r="C46" i="1"/>
  <c r="C47" i="1" s="1"/>
  <c r="C6" i="1" s="1"/>
  <c r="E6" i="1" s="1"/>
  <c r="C59" i="1"/>
  <c r="C60" i="1" s="1"/>
  <c r="C7" i="1" l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</calcChain>
</file>

<file path=xl/sharedStrings.xml><?xml version="1.0" encoding="utf-8"?>
<sst xmlns="http://schemas.openxmlformats.org/spreadsheetml/2006/main" count="134" uniqueCount="68">
  <si>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</si>
  <si>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</si>
  <si>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</si>
  <si>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</si>
  <si>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</si>
  <si>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</si>
  <si>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</si>
  <si>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</si>
  <si>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</si>
  <si>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</si>
  <si>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</si>
  <si>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</si>
  <si>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</si>
  <si>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</si>
  <si>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</si>
  <si>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</si>
  <si>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</si>
  <si>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</si>
  <si>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</si>
  <si>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</si>
  <si>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</si>
  <si>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</si>
  <si>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</si>
  <si>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</si>
  <si>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</si>
  <si>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</si>
  <si>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</si>
  <si>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</si>
  <si>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</si>
  <si>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</si>
  <si>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</si>
  <si>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</si>
  <si>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</si>
  <si>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</si>
  <si>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</si>
  <si>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</si>
  <si>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</si>
  <si>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</si>
  <si>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</si>
  <si>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</si>
  <si>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</si>
  <si>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</si>
  <si>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</si>
  <si>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</si>
  <si>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</si>
  <si>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</si>
  <si>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</si>
  <si>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</si>
  <si>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</si>
  <si>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</si>
  <si>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</si>
  <si>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</si>
  <si>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</si>
  <si>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</si>
  <si>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</si>
  <si>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</si>
  <si>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</si>
  <si>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</si>
  <si>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</si>
  <si>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</si>
  <si>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</si>
  <si>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Nota Final Comisión</t>
  </si>
  <si>
    <t>Nota Juan Gana</t>
  </si>
  <si>
    <t>Nota Alexis Curiche</t>
  </si>
  <si>
    <t>CONTRERAS MONTALBA BENJAMIN ANDRES</t>
  </si>
  <si>
    <t>SILVA BERRIOS ALEJANDRO ANDRES</t>
  </si>
  <si>
    <t>CASTILLO CASTILLO JAVIER ENRIQUE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</si>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</sst>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0" fillId="0" borderId="16" xfId="0" applyBorder="1"/>
    <xf numFmtId="0" fontId="13" fillId="8" borderId="16" xfId="0" applyFont="1" applyFill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0" xfId="0" applyFont="1"/>
    <xf numFmtId="165" fontId="0" fillId="0" borderId="16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C1" zoomScale="120" zoomScaleNormal="120" workbookViewId="0">
      <selection activeCell="E4" sqref="E4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5" width="11.7109375" customWidth="1"/>
    <col min="6" max="6" width="20" customWidth="1"/>
    <col min="7" max="7" width="16" customWidth="1"/>
    <col min="8" max="8" width="18.85546875" bestFit="1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  <c r="F3" s="33" t="s">
        <v>63</v>
      </c>
      <c r="G3" s="33" t="s">
        <v>62</v>
      </c>
      <c r="H3" s="33" t="s">
        <v>61</v>
      </c>
    </row>
    <row r="4" spans="1:11" x14ac:dyDescent="0.25">
      <c r="A4" s="3">
        <v>1</v>
      </c>
      <c r="B4" s="39" t="s">
        <v>64</v>
      </c>
      <c r="C4" s="30">
        <f>C21</f>
        <v>6.9</v>
      </c>
      <c r="D4" s="36">
        <f>H4</f>
        <v>6.35</v>
      </c>
      <c r="E4" s="35">
        <f>C4*C$2+D4*D$2</f>
        <v>6.7349999999999994</v>
      </c>
      <c r="F4" s="38">
        <v>6.4</v>
      </c>
      <c r="G4" s="38">
        <v>6.3</v>
      </c>
      <c r="H4" s="60">
        <f>AVERAGE(F4:G4)</f>
        <v>6.35</v>
      </c>
    </row>
    <row r="5" spans="1:11" x14ac:dyDescent="0.25">
      <c r="A5" s="3">
        <v>2</v>
      </c>
      <c r="B5" s="39" t="s">
        <v>65</v>
      </c>
      <c r="C5" s="30">
        <f>C34</f>
        <v>6.9</v>
      </c>
      <c r="D5" s="36">
        <f>H5</f>
        <v>6.65</v>
      </c>
      <c r="E5" s="35">
        <f>C5*C$2+D5*D$2</f>
        <v>6.8250000000000002</v>
      </c>
      <c r="F5" s="38">
        <v>6.4</v>
      </c>
      <c r="G5" s="38">
        <v>6.9</v>
      </c>
      <c r="H5" s="60">
        <f t="shared" ref="H5:H7" si="0">AVERAGE(F5:G5)</f>
        <v>6.65</v>
      </c>
    </row>
    <row r="6" spans="1:11" x14ac:dyDescent="0.25">
      <c r="A6" s="3">
        <v>3</v>
      </c>
      <c r="B6" s="39" t="s">
        <v>66</v>
      </c>
      <c r="C6" s="30">
        <f>+C47</f>
        <v>6.1</v>
      </c>
      <c r="D6" s="36">
        <f>H6</f>
        <v>6.1</v>
      </c>
      <c r="E6" s="35">
        <f t="shared" ref="E6:E7" si="1">C6*C$2+D6*D$2</f>
        <v>6.1</v>
      </c>
      <c r="F6" s="38">
        <v>6.4</v>
      </c>
      <c r="G6" s="38">
        <v>5.8</v>
      </c>
      <c r="H6" s="60">
        <f t="shared" si="0"/>
        <v>6.1</v>
      </c>
    </row>
    <row r="7" spans="1:11" ht="15" customHeight="1" x14ac:dyDescent="0.25">
      <c r="A7" s="3">
        <v>4</v>
      </c>
      <c r="B7" s="39"/>
      <c r="C7" s="30">
        <f>+C60</f>
        <v>7</v>
      </c>
      <c r="D7" s="36">
        <f t="shared" ref="D5:D7" si="2">C63</f>
        <v>0</v>
      </c>
      <c r="E7" s="35">
        <f t="shared" si="1"/>
        <v>4.8999999999999995</v>
      </c>
      <c r="F7" s="38">
        <v>0</v>
      </c>
      <c r="G7" s="38">
        <v>0</v>
      </c>
      <c r="H7" s="38">
        <f t="shared" si="0"/>
        <v>0</v>
      </c>
    </row>
    <row r="10" spans="1:11" ht="15" customHeight="1" x14ac:dyDescent="0.25">
      <c r="G10" s="59" t="s">
        <v>67</v>
      </c>
    </row>
    <row r="11" spans="1:11" ht="18.75" outlineLevel="1" x14ac:dyDescent="0.25">
      <c r="A11" s="49" t="s">
        <v>4</v>
      </c>
      <c r="B11" s="11" t="str">
        <f>B4</f>
        <v>CONTRERAS MONTALBA BENJAMIN ANDRES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3">IF($C13=CL,"X","")</f>
        <v>X</v>
      </c>
      <c r="E13" s="12">
        <f>IF(D13="X",100*0.15,"")</f>
        <v>15</v>
      </c>
      <c r="F13" s="12" t="str">
        <f t="shared" ref="F13:F17" si="4">IF($C13=L,"X","")</f>
        <v/>
      </c>
      <c r="G13" s="12" t="str">
        <f>IF(F13="X",60*0.15,"")</f>
        <v/>
      </c>
      <c r="H13" s="12" t="str">
        <f t="shared" ref="H13:H17" si="5">IF($C13=ML,"X","")</f>
        <v/>
      </c>
      <c r="I13" s="12" t="str">
        <f>IF(H13="X",30*0.15,"")</f>
        <v/>
      </c>
      <c r="J13" s="12" t="str">
        <f t="shared" ref="J13:J17" si="6">IF($C13=NL,"X","")</f>
        <v/>
      </c>
      <c r="K13" s="12" t="str">
        <f t="shared" ref="K13:K17" si="7">IF($J13="X",0,"")</f>
        <v/>
      </c>
    </row>
    <row r="14" spans="1:11" ht="26.45" customHeight="1" outlineLevel="1" x14ac:dyDescent="0.25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3"/>
        <v>X</v>
      </c>
      <c r="E14" s="12">
        <f>IF(D14="X",100*0.25,"")</f>
        <v>25</v>
      </c>
      <c r="F14" s="12" t="str">
        <f t="shared" si="4"/>
        <v/>
      </c>
      <c r="G14" s="12" t="str">
        <f>IF(F14="X",60*0.25,"")</f>
        <v/>
      </c>
      <c r="H14" s="12" t="str">
        <f t="shared" si="5"/>
        <v/>
      </c>
      <c r="I14" s="12" t="str">
        <f>IF(H14="X",30*0.25,"")</f>
        <v/>
      </c>
      <c r="J14" s="12" t="str">
        <f t="shared" si="6"/>
        <v/>
      </c>
      <c r="K14" s="12" t="str">
        <f t="shared" si="7"/>
        <v/>
      </c>
    </row>
    <row r="15" spans="1:11" ht="24" outlineLevel="1" x14ac:dyDescent="0.25">
      <c r="A15" s="42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3"/>
        <v>X</v>
      </c>
      <c r="E15" s="12">
        <f>IF(D15="X",100*0.2,"")</f>
        <v>20</v>
      </c>
      <c r="F15" s="12" t="str">
        <f t="shared" si="4"/>
        <v/>
      </c>
      <c r="G15" s="12" t="str">
        <f>IF(F15="X",60*0.2,"")</f>
        <v/>
      </c>
      <c r="H15" s="12" t="str">
        <f t="shared" si="5"/>
        <v/>
      </c>
      <c r="I15" s="12" t="str">
        <f>IF(H15="X",30*0.2,"")</f>
        <v/>
      </c>
      <c r="J15" s="12" t="str">
        <f t="shared" si="6"/>
        <v/>
      </c>
      <c r="K15" s="12" t="str">
        <f t="shared" si="7"/>
        <v/>
      </c>
    </row>
    <row r="16" spans="1:11" ht="24" outlineLevel="1" x14ac:dyDescent="0.25">
      <c r="A16" s="42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3"/>
        <v>X</v>
      </c>
      <c r="E16" s="12">
        <f>IF(D16="X",100*0.05,"")</f>
        <v>5</v>
      </c>
      <c r="F16" s="12" t="str">
        <f t="shared" si="4"/>
        <v/>
      </c>
      <c r="G16" s="12" t="str">
        <f>IF(F16="X",60*0.05,"")</f>
        <v/>
      </c>
      <c r="H16" s="12" t="str">
        <f t="shared" si="5"/>
        <v/>
      </c>
      <c r="I16" s="12" t="str">
        <f>IF(H16="X",30*0.05,"")</f>
        <v/>
      </c>
      <c r="J16" s="12" t="str">
        <f t="shared" si="6"/>
        <v/>
      </c>
      <c r="K16" s="12" t="str">
        <f t="shared" si="7"/>
        <v/>
      </c>
    </row>
    <row r="17" spans="1:11" ht="24" outlineLevel="1" x14ac:dyDescent="0.25">
      <c r="A17" s="42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3"/>
        <v/>
      </c>
      <c r="E17" s="12" t="str">
        <f>IF(D17="X",100*0.05,"")</f>
        <v/>
      </c>
      <c r="F17" s="12" t="str">
        <f t="shared" si="4"/>
        <v>X</v>
      </c>
      <c r="G17" s="12">
        <f>IF(F17="X",60*0.05,"")</f>
        <v>3</v>
      </c>
      <c r="H17" s="12" t="str">
        <f t="shared" si="5"/>
        <v/>
      </c>
      <c r="I17" s="12" t="str">
        <f>IF(H17="X",30*0.05,"")</f>
        <v/>
      </c>
      <c r="J17" s="12" t="str">
        <f t="shared" si="6"/>
        <v/>
      </c>
      <c r="K17" s="12" t="str">
        <f t="shared" si="7"/>
        <v/>
      </c>
    </row>
    <row r="18" spans="1:11" ht="36" outlineLevel="1" x14ac:dyDescent="0.25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8">IF($J18="X",0,"")</f>
        <v/>
      </c>
    </row>
    <row r="19" spans="1:11" ht="24" outlineLevel="1" x14ac:dyDescent="0.25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8"/>
        <v/>
      </c>
    </row>
    <row r="20" spans="1:11" ht="15.75" customHeight="1" outlineLevel="1" x14ac:dyDescent="0.3">
      <c r="A20" s="41"/>
      <c r="B20" s="17" t="s">
        <v>12</v>
      </c>
      <c r="C20" s="21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0" t="s">
        <v>13</v>
      </c>
      <c r="C21" s="14">
        <f>VLOOKUP(C20,ESCALA_IEP!A2:B202,2,FALSE)</f>
        <v>6.9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9" t="s">
        <v>4</v>
      </c>
      <c r="B24" s="11" t="str">
        <f>B5</f>
        <v>SILVA BERRIOS ALEJANDRO ANDRES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9">IF($C26=CL,"X","")</f>
        <v>X</v>
      </c>
      <c r="E26" s="12">
        <f>IF(D26="X",100*0.15,"")</f>
        <v>15</v>
      </c>
      <c r="F26" s="12" t="str">
        <f t="shared" ref="F26:F30" si="10">IF($C26=L,"X","")</f>
        <v/>
      </c>
      <c r="G26" s="12" t="str">
        <f>IF(F26="X",60*0.15,"")</f>
        <v/>
      </c>
      <c r="H26" s="12" t="str">
        <f t="shared" ref="H26:H30" si="11">IF($C26=ML,"X","")</f>
        <v/>
      </c>
      <c r="I26" s="12" t="str">
        <f>IF(H26="X",30*0.15,"")</f>
        <v/>
      </c>
      <c r="J26" s="12" t="str">
        <f t="shared" ref="J26:J30" si="12">IF($C26=NL,"X","")</f>
        <v/>
      </c>
      <c r="K26" s="12" t="str">
        <f t="shared" ref="K26:K32" si="13">IF($J26="X",0,"")</f>
        <v/>
      </c>
    </row>
    <row r="27" spans="1:11" ht="24" customHeight="1" x14ac:dyDescent="0.25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9"/>
        <v>X</v>
      </c>
      <c r="E27" s="12">
        <f>IF(D27="X",100*0.25,"")</f>
        <v>25</v>
      </c>
      <c r="F27" s="12" t="str">
        <f t="shared" si="10"/>
        <v/>
      </c>
      <c r="G27" s="12" t="str">
        <f>IF(F27="X",60*0.25,"")</f>
        <v/>
      </c>
      <c r="H27" s="12" t="str">
        <f t="shared" si="11"/>
        <v/>
      </c>
      <c r="I27" s="12" t="str">
        <f>IF(H27="X",30*0.25,"")</f>
        <v/>
      </c>
      <c r="J27" s="12" t="str">
        <f t="shared" si="12"/>
        <v/>
      </c>
      <c r="K27" s="12" t="str">
        <f t="shared" si="13"/>
        <v/>
      </c>
    </row>
    <row r="28" spans="1:11" ht="24" customHeight="1" x14ac:dyDescent="0.25">
      <c r="A28" s="42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9"/>
        <v>X</v>
      </c>
      <c r="E28" s="12">
        <f>IF(D28="X",100*0.2,"")</f>
        <v>20</v>
      </c>
      <c r="F28" s="12" t="str">
        <f t="shared" si="10"/>
        <v/>
      </c>
      <c r="G28" s="12" t="str">
        <f>IF(F28="X",60*0.2,"")</f>
        <v/>
      </c>
      <c r="H28" s="12" t="str">
        <f t="shared" si="11"/>
        <v/>
      </c>
      <c r="I28" s="12" t="str">
        <f>IF(H28="X",30*0.2,"")</f>
        <v/>
      </c>
      <c r="J28" s="12" t="str">
        <f t="shared" si="12"/>
        <v/>
      </c>
      <c r="K28" s="12" t="str">
        <f t="shared" si="13"/>
        <v/>
      </c>
    </row>
    <row r="29" spans="1:11" ht="24" customHeight="1" x14ac:dyDescent="0.25">
      <c r="A29" s="42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9"/>
        <v>X</v>
      </c>
      <c r="E29" s="12">
        <f>IF(D29="X",100*0.05,"")</f>
        <v>5</v>
      </c>
      <c r="F29" s="12" t="str">
        <f t="shared" si="10"/>
        <v/>
      </c>
      <c r="G29" s="12" t="str">
        <f>IF(F29="X",60*0.05,"")</f>
        <v/>
      </c>
      <c r="H29" s="12" t="str">
        <f t="shared" si="11"/>
        <v/>
      </c>
      <c r="I29" s="12" t="str">
        <f>IF(H29="X",30*0.05,"")</f>
        <v/>
      </c>
      <c r="J29" s="12" t="str">
        <f t="shared" si="12"/>
        <v/>
      </c>
      <c r="K29" s="12" t="str">
        <f t="shared" si="13"/>
        <v/>
      </c>
    </row>
    <row r="30" spans="1:11" ht="24" customHeight="1" x14ac:dyDescent="0.25">
      <c r="A30" s="42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9"/>
        <v/>
      </c>
      <c r="E30" s="12" t="str">
        <f>IF(D30="X",100*0.05,"")</f>
        <v/>
      </c>
      <c r="F30" s="12" t="str">
        <f t="shared" si="10"/>
        <v>X</v>
      </c>
      <c r="G30" s="12">
        <f>IF(F30="X",60*0.05,"")</f>
        <v>3</v>
      </c>
      <c r="H30" s="12" t="str">
        <f t="shared" si="11"/>
        <v/>
      </c>
      <c r="I30" s="12" t="str">
        <f>IF(H30="X",30*0.05,"")</f>
        <v/>
      </c>
      <c r="J30" s="12" t="str">
        <f t="shared" si="12"/>
        <v/>
      </c>
      <c r="K30" s="12" t="str">
        <f t="shared" si="13"/>
        <v/>
      </c>
    </row>
    <row r="31" spans="1:11" ht="24" customHeight="1" x14ac:dyDescent="0.25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3"/>
        <v/>
      </c>
    </row>
    <row r="32" spans="1:11" ht="24" customHeight="1" x14ac:dyDescent="0.25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3"/>
        <v/>
      </c>
    </row>
    <row r="33" spans="1:11" ht="24" customHeight="1" x14ac:dyDescent="0.3">
      <c r="A33" s="41"/>
      <c r="B33" s="17" t="s">
        <v>12</v>
      </c>
      <c r="C33" s="21">
        <f>E33+G33+I33+K33</f>
        <v>98</v>
      </c>
      <c r="D33" s="13"/>
      <c r="E33" s="13">
        <f>SUM(E26:E32)</f>
        <v>95</v>
      </c>
      <c r="F33" s="13"/>
      <c r="G33" s="13">
        <f>SUM(G26:G32)</f>
        <v>3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0" t="s">
        <v>13</v>
      </c>
      <c r="C34" s="14">
        <f>VLOOKUP(C33,ESCALA_IEP!A15:B215,2,FALSE)</f>
        <v>6.9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9" t="s">
        <v>4</v>
      </c>
      <c r="B37" s="11" t="str">
        <f>B6</f>
        <v>CASTILLO CASTILLO JAVIER ENRIQUE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4">IF($C39=CL,"X","")</f>
        <v>X</v>
      </c>
      <c r="E39" s="12">
        <f>IF(D39="X",100*0.15,"")</f>
        <v>15</v>
      </c>
      <c r="F39" s="12" t="str">
        <f t="shared" ref="F39:F43" si="15">IF($C39=L,"X","")</f>
        <v/>
      </c>
      <c r="G39" s="12" t="str">
        <f>IF(F39="X",60*0.15,"")</f>
        <v/>
      </c>
      <c r="H39" s="12" t="str">
        <f t="shared" ref="H39:H43" si="16">IF($C39=ML,"X","")</f>
        <v/>
      </c>
      <c r="I39" s="12" t="str">
        <f>IF(H39="X",30*0.15,"")</f>
        <v/>
      </c>
      <c r="J39" s="12" t="str">
        <f t="shared" ref="J39:J43" si="17">IF($C39=NL,"X","")</f>
        <v/>
      </c>
      <c r="K39" s="12" t="str">
        <f t="shared" ref="K39:K45" si="18">IF($J39="X",0,"")</f>
        <v/>
      </c>
    </row>
    <row r="40" spans="1:11" ht="24" customHeight="1" x14ac:dyDescent="0.25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4"/>
        <v>X</v>
      </c>
      <c r="E40" s="12">
        <f>IF(D40="X",100*0.25,"")</f>
        <v>25</v>
      </c>
      <c r="F40" s="12" t="str">
        <f t="shared" si="15"/>
        <v/>
      </c>
      <c r="G40" s="12" t="str">
        <f>IF(F40="X",60*0.25,"")</f>
        <v/>
      </c>
      <c r="H40" s="12" t="str">
        <f t="shared" si="16"/>
        <v/>
      </c>
      <c r="I40" s="12" t="str">
        <f>IF(H40="X",30*0.25,"")</f>
        <v/>
      </c>
      <c r="J40" s="12" t="str">
        <f t="shared" si="17"/>
        <v/>
      </c>
      <c r="K40" s="12" t="str">
        <f t="shared" si="18"/>
        <v/>
      </c>
    </row>
    <row r="41" spans="1:11" ht="24" customHeight="1" x14ac:dyDescent="0.25">
      <c r="A41" s="42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4"/>
        <v/>
      </c>
      <c r="E41" s="12" t="str">
        <f>IF(D41="X",100*0.2,"")</f>
        <v/>
      </c>
      <c r="F41" s="12" t="str">
        <f t="shared" si="15"/>
        <v>X</v>
      </c>
      <c r="G41" s="12">
        <f>IF(F41="X",60*0.2,"")</f>
        <v>12</v>
      </c>
      <c r="H41" s="12" t="str">
        <f t="shared" si="16"/>
        <v/>
      </c>
      <c r="I41" s="12" t="str">
        <f>IF(H41="X",30*0.2,"")</f>
        <v/>
      </c>
      <c r="J41" s="12" t="str">
        <f t="shared" si="17"/>
        <v/>
      </c>
      <c r="K41" s="12" t="str">
        <f t="shared" si="18"/>
        <v/>
      </c>
    </row>
    <row r="42" spans="1:11" ht="24" customHeight="1" x14ac:dyDescent="0.25">
      <c r="A42" s="42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4"/>
        <v>X</v>
      </c>
      <c r="E42" s="12">
        <f>IF(D42="X",100*0.05,"")</f>
        <v>5</v>
      </c>
      <c r="F42" s="12" t="str">
        <f t="shared" si="15"/>
        <v/>
      </c>
      <c r="G42" s="12" t="str">
        <f>IF(F42="X",60*0.05,"")</f>
        <v/>
      </c>
      <c r="H42" s="12" t="str">
        <f t="shared" si="16"/>
        <v/>
      </c>
      <c r="I42" s="12" t="str">
        <f>IF(H42="X",30*0.05,"")</f>
        <v/>
      </c>
      <c r="J42" s="12" t="str">
        <f t="shared" si="17"/>
        <v/>
      </c>
      <c r="K42" s="12" t="str">
        <f t="shared" si="18"/>
        <v/>
      </c>
    </row>
    <row r="43" spans="1:11" ht="24" customHeight="1" x14ac:dyDescent="0.25">
      <c r="A43" s="42"/>
      <c r="B43" s="18" t="str">
        <f>RUBRICA!A8</f>
        <v>5. Expresa sus ideas con fluidez, claridad y precisión, utilizando lenguaje técnico propio de la disciplina.</v>
      </c>
      <c r="C43" s="16" t="s">
        <v>59</v>
      </c>
      <c r="D43" s="12" t="str">
        <f t="shared" si="14"/>
        <v/>
      </c>
      <c r="E43" s="12" t="str">
        <f>IF(D43="X",100*0.05,"")</f>
        <v/>
      </c>
      <c r="F43" s="12" t="str">
        <f t="shared" si="15"/>
        <v/>
      </c>
      <c r="G43" s="12" t="str">
        <f>IF(F43="X",60*0.05,"")</f>
        <v/>
      </c>
      <c r="H43" s="12" t="str">
        <f t="shared" si="16"/>
        <v>X</v>
      </c>
      <c r="I43" s="12">
        <f>IF(H43="X",30*0.05,"")</f>
        <v>1.5</v>
      </c>
      <c r="J43" s="12" t="str">
        <f t="shared" si="17"/>
        <v/>
      </c>
      <c r="K43" s="12" t="str">
        <f t="shared" si="18"/>
        <v/>
      </c>
    </row>
    <row r="44" spans="1:11" ht="24" customHeight="1" x14ac:dyDescent="0.25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8"/>
        <v/>
      </c>
    </row>
    <row r="45" spans="1:11" ht="24" customHeight="1" x14ac:dyDescent="0.25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8"/>
        <v/>
      </c>
    </row>
    <row r="46" spans="1:11" ht="24" customHeight="1" x14ac:dyDescent="0.3">
      <c r="A46" s="41"/>
      <c r="B46" s="17" t="s">
        <v>12</v>
      </c>
      <c r="C46" s="21">
        <f>E46+G46+I46+K46</f>
        <v>88.5</v>
      </c>
      <c r="D46" s="13"/>
      <c r="E46" s="13">
        <f>SUM(E39:E45)</f>
        <v>75</v>
      </c>
      <c r="F46" s="13"/>
      <c r="G46" s="13">
        <f>SUM(G39:G45)</f>
        <v>12</v>
      </c>
      <c r="H46" s="13"/>
      <c r="I46" s="13">
        <f>SUM(I39:I45)</f>
        <v>1.5</v>
      </c>
      <c r="J46" s="13"/>
      <c r="K46" s="13">
        <f>SUM(K39:K45)</f>
        <v>0</v>
      </c>
    </row>
    <row r="47" spans="1:11" ht="24" customHeight="1" x14ac:dyDescent="0.3">
      <c r="A47" s="43"/>
      <c r="B47" s="20" t="s">
        <v>13</v>
      </c>
      <c r="C47" s="14">
        <f>VLOOKUP(C46,ESCALA_IEP!A28:B228,2,FALSE)</f>
        <v>6.1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0" t="s">
        <v>14</v>
      </c>
      <c r="B50" s="11">
        <f>+B7</f>
        <v>0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9">IF($C52=CL,"X","")</f>
        <v>X</v>
      </c>
      <c r="E52" s="12">
        <f>IF(D52="X",100*0.15,"")</f>
        <v>15</v>
      </c>
      <c r="F52" s="12" t="str">
        <f t="shared" ref="F52:F56" si="20">IF($C52=L,"X","")</f>
        <v/>
      </c>
      <c r="G52" s="12" t="str">
        <f>IF(F52="X",60*0.15,"")</f>
        <v/>
      </c>
      <c r="H52" s="12" t="str">
        <f t="shared" ref="H52:H56" si="21">IF($C52=ML,"X","")</f>
        <v/>
      </c>
      <c r="I52" s="12" t="str">
        <f>IF(H52="X",30*0.15,"")</f>
        <v/>
      </c>
      <c r="J52" s="12" t="str">
        <f t="shared" ref="J52:J56" si="22">IF($C52=NL,"X","")</f>
        <v/>
      </c>
      <c r="K52" s="12" t="str">
        <f t="shared" ref="K52:K58" si="23">IF($J52="X",0,"")</f>
        <v/>
      </c>
    </row>
    <row r="53" spans="1:11" ht="24" customHeight="1" x14ac:dyDescent="0.25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9"/>
        <v>X</v>
      </c>
      <c r="E53" s="12">
        <f>IF(D53="X",100*0.25,"")</f>
        <v>25</v>
      </c>
      <c r="F53" s="12" t="str">
        <f t="shared" si="20"/>
        <v/>
      </c>
      <c r="G53" s="12" t="str">
        <f>IF(F53="X",60*0.25,"")</f>
        <v/>
      </c>
      <c r="H53" s="12" t="str">
        <f t="shared" si="21"/>
        <v/>
      </c>
      <c r="I53" s="12" t="str">
        <f>IF(H53="X",30*0.25,"")</f>
        <v/>
      </c>
      <c r="J53" s="12" t="str">
        <f t="shared" si="22"/>
        <v/>
      </c>
      <c r="K53" s="12" t="str">
        <f t="shared" si="23"/>
        <v/>
      </c>
    </row>
    <row r="54" spans="1:11" ht="24" customHeight="1" x14ac:dyDescent="0.25">
      <c r="A54" s="42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9"/>
        <v>X</v>
      </c>
      <c r="E54" s="12">
        <f>IF(D54="X",100*0.2,"")</f>
        <v>20</v>
      </c>
      <c r="F54" s="12" t="str">
        <f t="shared" si="20"/>
        <v/>
      </c>
      <c r="G54" s="12" t="str">
        <f>IF(F54="X",60*0.2,"")</f>
        <v/>
      </c>
      <c r="H54" s="12" t="str">
        <f t="shared" si="21"/>
        <v/>
      </c>
      <c r="I54" s="12" t="str">
        <f>IF(H54="X",30*0.2,"")</f>
        <v/>
      </c>
      <c r="J54" s="12" t="str">
        <f t="shared" si="22"/>
        <v/>
      </c>
      <c r="K54" s="12" t="str">
        <f t="shared" si="23"/>
        <v/>
      </c>
    </row>
    <row r="55" spans="1:11" ht="24" customHeight="1" x14ac:dyDescent="0.25">
      <c r="A55" s="42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9"/>
        <v>X</v>
      </c>
      <c r="E55" s="12">
        <f>IF(D55="X",100*0.05,"")</f>
        <v>5</v>
      </c>
      <c r="F55" s="12" t="str">
        <f t="shared" si="20"/>
        <v/>
      </c>
      <c r="G55" s="12" t="str">
        <f>IF(F55="X",60*0.05,"")</f>
        <v/>
      </c>
      <c r="H55" s="12" t="str">
        <f t="shared" si="21"/>
        <v/>
      </c>
      <c r="I55" s="12" t="str">
        <f>IF(H55="X",30*0.05,"")</f>
        <v/>
      </c>
      <c r="J55" s="12" t="str">
        <f t="shared" si="22"/>
        <v/>
      </c>
      <c r="K55" s="12" t="str">
        <f t="shared" si="23"/>
        <v/>
      </c>
    </row>
    <row r="56" spans="1:11" ht="24" customHeight="1" x14ac:dyDescent="0.25">
      <c r="A56" s="42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9"/>
        <v>X</v>
      </c>
      <c r="E56" s="12">
        <f>IF(D56="X",100*0.05,"")</f>
        <v>5</v>
      </c>
      <c r="F56" s="12" t="str">
        <f t="shared" si="20"/>
        <v/>
      </c>
      <c r="G56" s="12" t="str">
        <f>IF(F56="X",60*0.05,"")</f>
        <v/>
      </c>
      <c r="H56" s="12" t="str">
        <f t="shared" si="21"/>
        <v/>
      </c>
      <c r="I56" s="12" t="str">
        <f>IF(H56="X",30*0.05,"")</f>
        <v/>
      </c>
      <c r="J56" s="12" t="str">
        <f t="shared" si="22"/>
        <v/>
      </c>
      <c r="K56" s="12" t="str">
        <f t="shared" si="23"/>
        <v/>
      </c>
    </row>
    <row r="57" spans="1:11" ht="24" customHeight="1" x14ac:dyDescent="0.25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3"/>
        <v/>
      </c>
    </row>
    <row r="58" spans="1:11" ht="24" customHeight="1" x14ac:dyDescent="0.25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3"/>
        <v/>
      </c>
    </row>
    <row r="59" spans="1:11" ht="24" customHeight="1" x14ac:dyDescent="0.3">
      <c r="A59" s="41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0"/>
      <c r="B63" s="11"/>
      <c r="C63" s="44"/>
      <c r="D63" s="45"/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/>
      <c r="C64" s="43"/>
      <c r="D64" s="45"/>
      <c r="E64" s="47"/>
      <c r="F64" s="45"/>
      <c r="G64" s="47"/>
      <c r="H64" s="48"/>
      <c r="I64" s="47"/>
      <c r="J64" s="45"/>
      <c r="K64" s="47"/>
    </row>
    <row r="65" spans="1:11" ht="24" customHeight="1" x14ac:dyDescent="0.25">
      <c r="A65" s="42"/>
      <c r="B65" s="18"/>
      <c r="C65" s="16"/>
      <c r="D65" s="12"/>
      <c r="E65" s="12"/>
      <c r="F65" s="12"/>
      <c r="G65" s="12"/>
      <c r="H65" s="12"/>
      <c r="I65" s="12"/>
      <c r="J65" s="12"/>
      <c r="K65" s="12"/>
    </row>
    <row r="66" spans="1:11" ht="24" customHeight="1" x14ac:dyDescent="0.25">
      <c r="A66" s="42"/>
      <c r="B66" s="18"/>
      <c r="C66" s="16"/>
      <c r="D66" s="12"/>
      <c r="E66" s="12"/>
      <c r="F66" s="12"/>
      <c r="G66" s="12"/>
      <c r="H66" s="12"/>
      <c r="I66" s="12"/>
      <c r="J66" s="12"/>
      <c r="K66" s="12"/>
    </row>
    <row r="67" spans="1:11" ht="24" customHeight="1" x14ac:dyDescent="0.25">
      <c r="A67" s="42"/>
      <c r="B67" s="18"/>
      <c r="C67" s="16"/>
      <c r="D67" s="12"/>
      <c r="E67" s="12"/>
      <c r="F67" s="12"/>
      <c r="G67" s="12"/>
      <c r="H67" s="12"/>
      <c r="I67" s="12"/>
      <c r="J67" s="12"/>
      <c r="K67" s="12"/>
    </row>
    <row r="68" spans="1:11" ht="24" customHeight="1" x14ac:dyDescent="0.25">
      <c r="A68" s="42"/>
      <c r="B68" s="18"/>
      <c r="C68" s="16"/>
      <c r="D68" s="12"/>
      <c r="E68" s="12"/>
      <c r="F68" s="12"/>
      <c r="G68" s="12"/>
      <c r="H68" s="12"/>
      <c r="I68" s="12"/>
      <c r="J68" s="12"/>
      <c r="K68" s="12"/>
    </row>
    <row r="69" spans="1:11" ht="24" customHeight="1" x14ac:dyDescent="0.25">
      <c r="A69" s="42"/>
      <c r="B69" s="18"/>
      <c r="C69" s="16"/>
      <c r="D69" s="12"/>
      <c r="E69" s="12"/>
      <c r="F69" s="12"/>
      <c r="G69" s="12"/>
      <c r="H69" s="12"/>
      <c r="I69" s="12"/>
      <c r="J69" s="12"/>
      <c r="K69" s="12"/>
    </row>
    <row r="70" spans="1:11" ht="24" customHeight="1" x14ac:dyDescent="0.25">
      <c r="A70" s="42"/>
      <c r="B70" s="18"/>
      <c r="C70" s="16"/>
      <c r="D70" s="12"/>
      <c r="E70" s="12"/>
      <c r="F70" s="12"/>
      <c r="G70" s="12"/>
      <c r="H70" s="12"/>
      <c r="I70" s="12"/>
      <c r="J70" s="12"/>
      <c r="K70" s="12"/>
    </row>
    <row r="71" spans="1:11" ht="24" customHeight="1" x14ac:dyDescent="0.25">
      <c r="A71" s="42"/>
      <c r="B71" s="18"/>
      <c r="C71" s="16"/>
      <c r="D71" s="12"/>
      <c r="E71" s="12"/>
      <c r="F71" s="12"/>
      <c r="G71" s="12"/>
      <c r="H71" s="12"/>
      <c r="I71" s="12"/>
      <c r="J71" s="12"/>
      <c r="K71" s="12"/>
    </row>
    <row r="72" spans="1:11" ht="24" customHeight="1" x14ac:dyDescent="0.3">
      <c r="A72" s="41"/>
      <c r="B72" s="17"/>
      <c r="C72" s="21"/>
      <c r="D72" s="13"/>
      <c r="E72" s="13"/>
      <c r="F72" s="13"/>
      <c r="G72" s="13"/>
      <c r="H72" s="13"/>
      <c r="I72" s="13"/>
      <c r="J72" s="13"/>
      <c r="K72" s="13"/>
    </row>
    <row r="73" spans="1:11" ht="24" customHeight="1" x14ac:dyDescent="0.3">
      <c r="A73" s="43"/>
      <c r="B73" s="20"/>
      <c r="C73" s="14"/>
    </row>
    <row r="74" spans="1:11" ht="15.75" customHeight="1" x14ac:dyDescent="0.25"/>
    <row r="75" spans="1:11" ht="15.75" customHeight="1" x14ac:dyDescent="0.25"/>
    <row r="76" spans="1:11" ht="24" customHeight="1" x14ac:dyDescent="0.25">
      <c r="A76" s="40"/>
      <c r="B76" s="11"/>
      <c r="C76" s="44"/>
      <c r="D76" s="45"/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/>
      <c r="C77" s="43"/>
      <c r="D77" s="45"/>
      <c r="E77" s="47"/>
      <c r="F77" s="45"/>
      <c r="G77" s="47"/>
      <c r="H77" s="48"/>
      <c r="I77" s="47"/>
      <c r="J77" s="45"/>
      <c r="K77" s="47"/>
    </row>
    <row r="78" spans="1:11" ht="24" customHeight="1" x14ac:dyDescent="0.25">
      <c r="A78" s="42"/>
      <c r="B78" s="18"/>
      <c r="C78" s="16"/>
      <c r="D78" s="12"/>
      <c r="E78" s="12"/>
      <c r="F78" s="12"/>
      <c r="G78" s="12"/>
      <c r="H78" s="12"/>
      <c r="I78" s="12"/>
      <c r="J78" s="12"/>
      <c r="K78" s="12"/>
    </row>
    <row r="79" spans="1:11" ht="24" customHeight="1" x14ac:dyDescent="0.25">
      <c r="A79" s="42"/>
      <c r="B79" s="18"/>
      <c r="C79" s="16"/>
      <c r="D79" s="12"/>
      <c r="E79" s="12"/>
      <c r="F79" s="12"/>
      <c r="G79" s="12"/>
      <c r="H79" s="12"/>
      <c r="I79" s="12"/>
      <c r="J79" s="12"/>
      <c r="K79" s="12"/>
    </row>
    <row r="80" spans="1:11" ht="24" customHeight="1" x14ac:dyDescent="0.25">
      <c r="A80" s="42"/>
      <c r="B80" s="18"/>
      <c r="C80" s="16"/>
      <c r="D80" s="12"/>
      <c r="E80" s="12"/>
      <c r="F80" s="12"/>
      <c r="G80" s="12"/>
      <c r="H80" s="12"/>
      <c r="I80" s="12"/>
      <c r="J80" s="12"/>
      <c r="K80" s="12"/>
    </row>
    <row r="81" spans="1:11" ht="24" customHeight="1" x14ac:dyDescent="0.25">
      <c r="A81" s="42"/>
      <c r="B81" s="18"/>
      <c r="C81" s="16"/>
      <c r="D81" s="12"/>
      <c r="E81" s="12"/>
      <c r="F81" s="12"/>
      <c r="G81" s="12"/>
      <c r="H81" s="12"/>
      <c r="I81" s="12"/>
      <c r="J81" s="12"/>
      <c r="K81" s="12"/>
    </row>
    <row r="82" spans="1:11" ht="24" customHeight="1" x14ac:dyDescent="0.25">
      <c r="A82" s="42"/>
      <c r="B82" s="18"/>
      <c r="C82" s="16"/>
      <c r="D82" s="12"/>
      <c r="E82" s="12"/>
      <c r="F82" s="12"/>
      <c r="G82" s="12"/>
      <c r="H82" s="12"/>
      <c r="I82" s="12"/>
      <c r="J82" s="12"/>
      <c r="K82" s="12"/>
    </row>
    <row r="83" spans="1:11" ht="24" customHeight="1" x14ac:dyDescent="0.25">
      <c r="A83" s="42"/>
      <c r="B83" s="18"/>
      <c r="C83" s="16"/>
      <c r="D83" s="12"/>
      <c r="E83" s="12"/>
      <c r="F83" s="12"/>
      <c r="G83" s="12"/>
      <c r="H83" s="12"/>
      <c r="I83" s="12"/>
      <c r="J83" s="12"/>
      <c r="K83" s="12"/>
    </row>
    <row r="84" spans="1:11" ht="24" customHeight="1" x14ac:dyDescent="0.25">
      <c r="A84" s="42"/>
      <c r="B84" s="18"/>
      <c r="C84" s="16"/>
      <c r="D84" s="12"/>
      <c r="E84" s="12"/>
      <c r="F84" s="12"/>
      <c r="G84" s="12"/>
      <c r="H84" s="12"/>
      <c r="I84" s="12"/>
      <c r="J84" s="12"/>
      <c r="K84" s="12"/>
    </row>
    <row r="85" spans="1:11" ht="24" customHeight="1" x14ac:dyDescent="0.3">
      <c r="A85" s="41"/>
      <c r="B85" s="17"/>
      <c r="C85" s="21"/>
      <c r="D85" s="13"/>
      <c r="E85" s="13"/>
      <c r="F85" s="13"/>
      <c r="G85" s="13"/>
      <c r="H85" s="13"/>
      <c r="I85" s="13"/>
      <c r="J85" s="13"/>
      <c r="K85" s="13"/>
    </row>
    <row r="86" spans="1:11" ht="24" customHeight="1" x14ac:dyDescent="0.3">
      <c r="A86" s="43"/>
      <c r="B86" s="20"/>
      <c r="C86" s="14"/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15</v>
      </c>
      <c r="B1" s="52" t="s">
        <v>16</v>
      </c>
      <c r="C1" s="53"/>
      <c r="D1" s="53"/>
      <c r="E1" s="54"/>
      <c r="F1" s="50" t="s">
        <v>17</v>
      </c>
    </row>
    <row r="2" spans="1:6" x14ac:dyDescent="0.25">
      <c r="A2" s="51"/>
      <c r="B2" s="55" t="s">
        <v>18</v>
      </c>
      <c r="C2" s="55" t="s">
        <v>19</v>
      </c>
      <c r="D2" s="24" t="s">
        <v>20</v>
      </c>
      <c r="E2" s="25" t="s">
        <v>11</v>
      </c>
      <c r="F2" s="51"/>
    </row>
    <row r="3" spans="1:6" x14ac:dyDescent="0.25">
      <c r="A3" s="51"/>
      <c r="B3" s="56"/>
      <c r="C3" s="56"/>
      <c r="D3" s="26">
        <v>0.3</v>
      </c>
      <c r="E3" s="26">
        <v>0</v>
      </c>
      <c r="F3" s="51"/>
    </row>
    <row r="4" spans="1:6" ht="102" x14ac:dyDescent="0.25">
      <c r="A4" s="22" t="s">
        <v>21</v>
      </c>
      <c r="B4" s="22" t="s">
        <v>22</v>
      </c>
      <c r="C4" s="22" t="s">
        <v>23</v>
      </c>
      <c r="D4" s="22" t="s">
        <v>24</v>
      </c>
      <c r="E4" s="22" t="s">
        <v>25</v>
      </c>
      <c r="F4" s="27">
        <v>15</v>
      </c>
    </row>
    <row r="5" spans="1:6" ht="136.9" customHeight="1" x14ac:dyDescent="0.25">
      <c r="A5" s="22" t="s">
        <v>26</v>
      </c>
      <c r="B5" s="22" t="s">
        <v>27</v>
      </c>
      <c r="C5" s="22" t="s">
        <v>28</v>
      </c>
      <c r="D5" s="22" t="s">
        <v>29</v>
      </c>
      <c r="E5" s="22" t="s">
        <v>30</v>
      </c>
      <c r="F5" s="27">
        <v>25</v>
      </c>
    </row>
    <row r="6" spans="1:6" ht="87" customHeight="1" x14ac:dyDescent="0.25">
      <c r="A6" s="22" t="s">
        <v>31</v>
      </c>
      <c r="B6" s="22" t="s">
        <v>32</v>
      </c>
      <c r="C6" s="22" t="s">
        <v>33</v>
      </c>
      <c r="D6" s="22" t="s">
        <v>34</v>
      </c>
      <c r="E6" s="22" t="s">
        <v>35</v>
      </c>
      <c r="F6" s="27">
        <v>20</v>
      </c>
    </row>
    <row r="7" spans="1:6" ht="89.25" x14ac:dyDescent="0.25">
      <c r="A7" s="22" t="s">
        <v>36</v>
      </c>
      <c r="B7" s="22" t="s">
        <v>37</v>
      </c>
      <c r="C7" s="22" t="s">
        <v>38</v>
      </c>
      <c r="D7" s="22" t="s">
        <v>39</v>
      </c>
      <c r="E7" s="22" t="s">
        <v>40</v>
      </c>
      <c r="F7" s="27">
        <v>5</v>
      </c>
    </row>
    <row r="8" spans="1:6" ht="89.25" x14ac:dyDescent="0.25">
      <c r="A8" s="22" t="s">
        <v>41</v>
      </c>
      <c r="B8" s="22" t="s">
        <v>42</v>
      </c>
      <c r="C8" s="22" t="s">
        <v>43</v>
      </c>
      <c r="D8" s="22" t="s">
        <v>44</v>
      </c>
      <c r="E8" s="22" t="s">
        <v>45</v>
      </c>
      <c r="F8" s="27">
        <v>5</v>
      </c>
    </row>
    <row r="9" spans="1:6" ht="89.25" x14ac:dyDescent="0.25">
      <c r="A9" s="22" t="s">
        <v>46</v>
      </c>
      <c r="B9" s="22" t="s">
        <v>47</v>
      </c>
      <c r="C9" s="22" t="s">
        <v>48</v>
      </c>
      <c r="D9" s="22" t="s">
        <v>49</v>
      </c>
      <c r="E9" s="22" t="s">
        <v>50</v>
      </c>
      <c r="F9" s="23">
        <v>20</v>
      </c>
    </row>
    <row r="10" spans="1:6" ht="126" customHeight="1" x14ac:dyDescent="0.25">
      <c r="A10" s="22" t="s">
        <v>51</v>
      </c>
      <c r="B10" s="22" t="s">
        <v>52</v>
      </c>
      <c r="C10" s="22" t="s">
        <v>53</v>
      </c>
      <c r="D10" s="22" t="s">
        <v>54</v>
      </c>
      <c r="E10" s="22" t="s">
        <v>55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56</v>
      </c>
      <c r="B1" t="s">
        <v>57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58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19" t="s">
        <v>59</v>
      </c>
      <c r="E2" s="37" t="s">
        <v>11</v>
      </c>
    </row>
    <row r="3" spans="1:5" ht="30.75" thickBot="1" x14ac:dyDescent="0.3">
      <c r="A3" s="9" t="s">
        <v>60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OSNELLYS EUGENIA ANDRADE DIAZ</cp:lastModifiedBy>
  <cp:revision/>
  <dcterms:created xsi:type="dcterms:W3CDTF">2023-08-07T04:08:01Z</dcterms:created>
  <dcterms:modified xsi:type="dcterms:W3CDTF">2025-12-08T22:06:13Z</dcterms:modified>
  <cp:category/>
  <cp:contentStatus/>
</cp:coreProperties>
</file>